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参数总表" sheetId="2" state="visible" r:id="rId2"/>
    <sheet xmlns:r="http://schemas.openxmlformats.org/officeDocument/2006/relationships" name="公式与调度律" sheetId="3" state="visible" r:id="rId3"/>
    <sheet xmlns:r="http://schemas.openxmlformats.org/officeDocument/2006/relationships" name="质量切换对照" sheetId="4" state="visible" r:id="rId4"/>
    <sheet xmlns:r="http://schemas.openxmlformats.org/officeDocument/2006/relationships" name="数据来源" sheetId="5" state="visible" r:id="rId5"/>
  </sheets>
  <definedNames>
    <definedName name="_xlnm._FilterDatabase" localSheetId="1" hidden="1">'参数总表'!$A$1:$G$57</definedName>
    <definedName name="_xlnm._FilterDatabase" localSheetId="2" hidden="1">'公式与调度律'!$A$1:$F$15</definedName>
  </definedNames>
  <calcPr calcMode="auto" fullCalcOnLoad="1" forceFullCalc="1" calcId="124519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6324F"/>
      <sz val="22"/>
    </font>
    <font>
      <color rgb="008D99AE"/>
      <sz val="10"/>
    </font>
    <font>
      <b val="1"/>
      <color rgb="0016324F"/>
      <sz val="11"/>
    </font>
    <font>
      <b val="1"/>
      <color rgb="008D99AE"/>
      <sz val="11"/>
    </font>
    <font>
      <color rgb="0016324F"/>
      <sz val="10"/>
    </font>
    <font>
      <b val="1"/>
      <color rgb="00FFFFFF"/>
      <sz val="10"/>
    </font>
    <font>
      <b val="1"/>
      <color rgb="00FFFFFF"/>
      <sz val="10.5"/>
    </font>
    <font>
      <color rgb="0016324F"/>
      <sz val="9.5"/>
    </font>
    <font>
      <b val="1"/>
      <color rgb="00FFFFFF"/>
      <sz val="9.5"/>
    </font>
    <font>
      <b val="1"/>
      <color rgb="00B34724"/>
      <sz val="9.5"/>
    </font>
    <font>
      <b val="1"/>
      <color rgb="0016324F"/>
      <sz val="9.5"/>
    </font>
    <font>
      <color rgb="00B34724"/>
      <sz val="9.5"/>
    </font>
    <font>
      <b val="1"/>
      <color rgb="0016324F"/>
      <sz val="10"/>
    </font>
    <font>
      <b val="1"/>
      <color rgb="003E5C82"/>
      <sz val="11"/>
    </font>
    <font>
      <color rgb="008D99AE"/>
      <sz val="9.5"/>
    </font>
  </fonts>
  <fills count="10">
    <fill>
      <patternFill/>
    </fill>
    <fill>
      <patternFill patternType="gray125"/>
    </fill>
    <fill>
      <patternFill patternType="solid">
        <fgColor rgb="002A9D8F"/>
      </patternFill>
    </fill>
    <fill>
      <patternFill patternType="solid">
        <fgColor rgb="0043AA8B"/>
      </patternFill>
    </fill>
    <fill>
      <patternFill patternType="solid">
        <fgColor rgb="006D597A"/>
      </patternFill>
    </fill>
    <fill>
      <patternFill patternType="solid">
        <fgColor rgb="003E5C82"/>
      </patternFill>
    </fill>
    <fill>
      <patternFill patternType="solid">
        <fgColor rgb="00D64541"/>
      </patternFill>
    </fill>
    <fill>
      <patternFill patternType="solid">
        <fgColor rgb="0016324F"/>
      </patternFill>
    </fill>
    <fill>
      <patternFill patternType="solid">
        <fgColor rgb="00F4F2EC"/>
      </patternFill>
    </fill>
    <fill>
      <patternFill patternType="solid">
        <fgColor rgb="00E9C46A"/>
      </patternFill>
    </fill>
  </fills>
  <borders count="2">
    <border>
      <left/>
      <right/>
      <top/>
      <bottom/>
      <diagonal/>
    </border>
    <border>
      <left style="thin">
        <color rgb="00D8D4C8"/>
      </left>
      <right style="thin">
        <color rgb="00D8D4C8"/>
      </right>
      <top style="thin">
        <color rgb="00D8D4C8"/>
      </top>
      <bottom style="thin">
        <color rgb="00D8D4C8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8" borderId="1" pivotButton="0" quotePrefix="0" xfId="0"/>
    <xf numFmtId="0" fontId="0" fillId="8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 vertical="center"/>
    </xf>
    <xf numFmtId="0" fontId="13" fillId="0" borderId="1" pivotButton="0" quotePrefix="0" xfId="0"/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4" fillId="0" borderId="0" pivotButton="0" quotePrefix="0" xfId="0"/>
    <xf numFmtId="0" fontId="8" fillId="8" borderId="1" pivotButton="0" quotePrefix="0" xfId="0"/>
    <xf numFmtId="0" fontId="15" fillId="8" borderId="1" pivotButton="0" quotePrefix="0" xfId="0"/>
    <xf numFmtId="0" fontId="8" fillId="0" borderId="1" pivotButton="0" quotePrefix="0" xfId="0"/>
    <xf numFmtId="0" fontId="1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0" customWidth="1" min="3" max="3"/>
    <col width="30" customWidth="1" min="4" max="4"/>
    <col width="30" customWidth="1" min="5" max="5"/>
    <col width="26" customWidth="1" min="6" max="6"/>
  </cols>
  <sheetData>
    <row r="2" ht="40" customHeight="1">
      <c r="B2" s="1" t="inlineStr">
        <is>
          <t>isaac_flapper_sim 工程参数总表</t>
        </is>
      </c>
    </row>
    <row r="3">
      <c r="B3" s="2" t="inlineStr">
        <is>
          <t>数据口径：2026-09-20 · 分支 work/mass-215g-audit（215 g 切换施工中）· 与展示底座四张图同源</t>
        </is>
      </c>
    </row>
    <row r="5">
      <c r="B5" s="3" t="inlineStr">
        <is>
          <t>工作表索引</t>
        </is>
      </c>
      <c r="C5" s="4" t="inlineStr"/>
    </row>
    <row r="6">
      <c r="B6" s="5" t="inlineStr">
        <is>
          <t>参数总表</t>
        </is>
      </c>
      <c r="C6" s="2" t="inlineStr">
        <is>
          <t>全部 48 项展示参数：数值、单位、来源分级、状态、文件出处</t>
        </is>
      </c>
    </row>
    <row r="7">
      <c r="B7" s="5" t="inlineStr">
        <is>
          <t>公式与调度律</t>
        </is>
      </c>
      <c r="C7" s="2" t="inlineStr">
        <is>
          <t>14 组换算公式：表达式、系数取值、处置类别、出处</t>
        </is>
      </c>
    </row>
    <row r="8">
      <c r="B8" s="5" t="inlineStr">
        <is>
          <t>质量切换对照</t>
        </is>
      </c>
      <c r="C8" s="2" t="inlineStr">
        <is>
          <t>700 g 与 215 g 两口径关键量对照，变化比为表内公式</t>
        </is>
      </c>
    </row>
    <row r="9">
      <c r="B9" s="5" t="inlineStr">
        <is>
          <t>数据来源</t>
        </is>
      </c>
      <c r="C9" s="2" t="inlineStr">
        <is>
          <t>全部数值的文件级出处清单</t>
        </is>
      </c>
    </row>
    <row r="11">
      <c r="B11" s="3" t="inlineStr">
        <is>
          <t>来源分级图例</t>
        </is>
      </c>
    </row>
    <row r="12">
      <c r="B12" s="6" t="inlineStr">
        <is>
          <t>台架辨识 / 直测（最高可信级）</t>
        </is>
      </c>
    </row>
    <row r="13">
      <c r="B13" s="7" t="inlineStr">
        <is>
          <t>工作令·表一 / 直读核对 / 实测零件</t>
        </is>
      </c>
    </row>
    <row r="14">
      <c r="B14" s="8" t="inlineStr">
        <is>
          <t>在环整定</t>
        </is>
      </c>
    </row>
    <row r="15">
      <c r="B15" s="9" t="inlineStr">
        <is>
          <t>文献 / 理论锚定 / 推算</t>
        </is>
      </c>
    </row>
    <row r="16">
      <c r="B16" s="10" t="inlineStr">
        <is>
          <t>工程估算 · 挂账待标定</t>
        </is>
      </c>
    </row>
  </sheetData>
  <mergeCells count="12">
    <mergeCell ref="B13:C13"/>
    <mergeCell ref="C9:F9"/>
    <mergeCell ref="B16:C16"/>
    <mergeCell ref="B15:C15"/>
    <mergeCell ref="B2:F2"/>
    <mergeCell ref="C8:F8"/>
    <mergeCell ref="B3:F3"/>
    <mergeCell ref="C6:F6"/>
    <mergeCell ref="C7:F7"/>
    <mergeCell ref="B14:C14"/>
    <mergeCell ref="C5:F5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22" customWidth="1" min="3" max="3"/>
    <col width="16" customWidth="1" min="4" max="4"/>
    <col width="14" customWidth="1" min="5" max="5"/>
    <col width="24" customWidth="1" min="6" max="6"/>
    <col width="30" customWidth="1" min="7" max="7"/>
  </cols>
  <sheetData>
    <row r="1" ht="22" customHeight="1">
      <c r="A1" s="11" t="inlineStr">
        <is>
          <t>分组</t>
        </is>
      </c>
      <c r="B1" s="11" t="inlineStr">
        <is>
          <t>参数</t>
        </is>
      </c>
      <c r="C1" s="11" t="inlineStr">
        <is>
          <t>数值</t>
        </is>
      </c>
      <c r="D1" s="11" t="inlineStr">
        <is>
          <t>单位</t>
        </is>
      </c>
      <c r="E1" s="11" t="inlineStr">
        <is>
          <t>来源</t>
        </is>
      </c>
      <c r="F1" s="11" t="inlineStr">
        <is>
          <t>状态 / 备注</t>
        </is>
      </c>
      <c r="G1" s="11" t="inlineStr">
        <is>
          <t>出处（文件:行）</t>
        </is>
      </c>
    </row>
    <row r="2" ht="20" customHeight="1">
      <c r="A2" s="12" t="inlineStr">
        <is>
          <t>质量与惯量（215 g 口径·切换施工中）</t>
        </is>
      </c>
      <c r="B2" s="13" t="n"/>
      <c r="C2" s="13" t="n"/>
      <c r="D2" s="13" t="n"/>
      <c r="E2" s="13" t="n"/>
      <c r="F2" s="13" t="n"/>
      <c r="G2" s="13" t="n"/>
    </row>
    <row r="3">
      <c r="A3" s="14" t="inlineStr">
        <is>
          <t>质量与惯量（215 g 口径·切换施工中）</t>
        </is>
      </c>
      <c r="B3" s="14" t="inlineStr">
        <is>
          <t>总质量 MASS</t>
        </is>
      </c>
      <c r="C3" s="15" t="n">
        <v>0.215</v>
      </c>
      <c r="D3" s="16" t="inlineStr">
        <is>
          <t>kg</t>
        </is>
      </c>
      <c r="E3" s="17" t="inlineStr">
        <is>
          <t>工作令·表一</t>
        </is>
      </c>
      <c r="F3" s="14" t="inlineStr">
        <is>
          <t>切换中·未提交</t>
        </is>
      </c>
      <c r="G3" s="14" t="inlineStr">
        <is>
          <t>sim_config.py:127-130</t>
        </is>
      </c>
    </row>
    <row r="4">
      <c r="A4" s="18" t="inlineStr">
        <is>
          <t>质量与惯量（215 g 口径·切换施工中）</t>
        </is>
      </c>
      <c r="B4" s="18" t="inlineStr">
        <is>
          <t>base_link 余量</t>
        </is>
      </c>
      <c r="C4" s="19" t="n">
        <v>0.135</v>
      </c>
      <c r="D4" s="20" t="inlineStr">
        <is>
          <t>kg</t>
        </is>
      </c>
      <c r="E4" s="21" t="inlineStr">
        <is>
          <t>推算</t>
        </is>
      </c>
      <c r="F4" s="18" t="inlineStr">
        <is>
          <t>待表一复核</t>
        </is>
      </c>
      <c r="G4" s="18" t="inlineStr">
        <is>
          <t>sim_config.py:646-649</t>
        </is>
      </c>
    </row>
    <row r="5">
      <c r="A5" s="14" t="inlineStr">
        <is>
          <t>质量与惯量（215 g 口径·切换施工中）</t>
        </is>
      </c>
      <c r="B5" s="14" t="inlineStr">
        <is>
          <t>活动翼面合计</t>
        </is>
      </c>
      <c r="C5" s="15" t="n">
        <v>0.054</v>
      </c>
      <c r="D5" s="16" t="inlineStr">
        <is>
          <t>kg</t>
        </is>
      </c>
      <c r="E5" s="17" t="inlineStr">
        <is>
          <t>实测零件</t>
        </is>
      </c>
      <c r="F5" s="14" t="inlineStr">
        <is>
          <t>保留绝对值</t>
        </is>
      </c>
      <c r="G5" s="14" t="inlineStr">
        <is>
          <t>sim_config.py:650-655</t>
        </is>
      </c>
    </row>
    <row r="6">
      <c r="A6" s="18" t="inlineStr">
        <is>
          <t>质量与惯量（215 g 口径·切换施工中）</t>
        </is>
      </c>
      <c r="B6" s="18" t="inlineStr">
        <is>
          <t>翼面质量占比</t>
        </is>
      </c>
      <c r="C6" s="19" t="n">
        <v>25.1</v>
      </c>
      <c r="D6" s="20" t="inlineStr">
        <is>
          <t>% MTOW</t>
        </is>
      </c>
      <c r="E6" s="21" t="inlineStr">
        <is>
          <t>推算</t>
        </is>
      </c>
      <c r="F6" s="18" t="inlineStr">
        <is>
          <t>缺口挂账</t>
        </is>
      </c>
      <c r="G6" s="18" t="inlineStr">
        <is>
          <t>sim_config.py:646-649</t>
        </is>
      </c>
    </row>
    <row r="7">
      <c r="A7" s="14" t="inlineStr">
        <is>
          <t>质量与惯量（215 g 口径·切换施工中）</t>
        </is>
      </c>
      <c r="B7" s="14" t="inlineStr">
        <is>
          <t>试验架惯量 IXX / IYY</t>
        </is>
      </c>
      <c r="C7" s="15" t="n">
        <v>0.0074</v>
      </c>
      <c r="D7" s="16" t="inlineStr">
        <is>
          <t>kg·m²</t>
        </is>
      </c>
      <c r="E7" s="21" t="inlineStr">
        <is>
          <t>推算</t>
        </is>
      </c>
      <c r="F7" s="14" t="inlineStr">
        <is>
          <t>质量比 0.3071 缩放</t>
        </is>
      </c>
      <c r="G7" s="14" t="inlineStr">
        <is>
          <t>test_flight_controller.py:38-42</t>
        </is>
      </c>
    </row>
    <row r="8">
      <c r="A8" s="18" t="inlineStr">
        <is>
          <t>质量与惯量（215 g 口径·切换施工中）</t>
        </is>
      </c>
      <c r="B8" s="18" t="inlineStr">
        <is>
          <t>PhysX 惯量直读</t>
        </is>
      </c>
      <c r="C8" s="19" t="inlineStr">
        <is>
          <t>三列逐位一致</t>
        </is>
      </c>
      <c r="D8" s="20" t="inlineStr">
        <is>
          <t>700 g 口径</t>
        </is>
      </c>
      <c r="E8" s="17" t="inlineStr">
        <is>
          <t>直读核对</t>
        </is>
      </c>
      <c r="F8" s="18" t="inlineStr">
        <is>
          <t>已销项</t>
        </is>
      </c>
      <c r="G8" s="18" t="inlineStr">
        <is>
          <t>docs/INERTIA_TABLE_700g.md</t>
        </is>
      </c>
    </row>
    <row r="9" ht="20" customHeight="1">
      <c r="A9" s="12" t="inlineStr">
        <is>
          <t>几何与翼面驱动</t>
        </is>
      </c>
      <c r="B9" s="13" t="n"/>
      <c r="C9" s="13" t="n"/>
      <c r="D9" s="13" t="n"/>
      <c r="E9" s="13" t="n"/>
      <c r="F9" s="13" t="n"/>
      <c r="G9" s="13" t="n"/>
    </row>
    <row r="10">
      <c r="A10" s="18" t="inlineStr">
        <is>
          <t>几何与翼面驱动</t>
        </is>
      </c>
      <c r="B10" s="18" t="inlineStr">
        <is>
          <t>半展长 / 弦长</t>
        </is>
      </c>
      <c r="C10" s="19" t="inlineStr">
        <is>
          <t>0.32 / 0.20→0.14</t>
        </is>
      </c>
      <c r="D10" s="20" t="inlineStr">
        <is>
          <t>m</t>
        </is>
      </c>
      <c r="E10" s="17" t="inlineStr">
        <is>
          <t>实测零件</t>
        </is>
      </c>
      <c r="F10" s="18" t="inlineStr">
        <is>
          <t>AR ≈ 3.7</t>
        </is>
      </c>
      <c r="G10" s="18" t="inlineStr">
        <is>
          <t>sim_config.py:183-185</t>
        </is>
      </c>
    </row>
    <row r="11">
      <c r="A11" s="14" t="inlineStr">
        <is>
          <t>几何与翼面驱动</t>
        </is>
      </c>
      <c r="B11" s="14" t="inlineStr">
        <is>
          <t>双翼面积 / 叶素数</t>
        </is>
      </c>
      <c r="C11" s="15" t="inlineStr">
        <is>
          <t>0.109 / 14</t>
        </is>
      </c>
      <c r="D11" s="16" t="inlineStr">
        <is>
          <t>m² / 片</t>
        </is>
      </c>
      <c r="E11" s="17" t="inlineStr">
        <is>
          <t>实测零件</t>
        </is>
      </c>
      <c r="F11" s="14" t="inlineStr">
        <is>
          <t>0.6 m 翼展定案</t>
        </is>
      </c>
      <c r="G11" s="14" t="inlineStr">
        <is>
          <t>sim_config.py:179-186</t>
        </is>
      </c>
    </row>
    <row r="12">
      <c r="A12" s="18" t="inlineStr">
        <is>
          <t>几何与翼面驱动</t>
        </is>
      </c>
      <c r="B12" s="18" t="inlineStr">
        <is>
          <t>驱动刚度 K</t>
        </is>
      </c>
      <c r="C12" s="19" t="n">
        <v>60</v>
      </c>
      <c r="D12" s="20" t="inlineStr">
        <is>
          <t>N·m/rad</t>
        </is>
      </c>
      <c r="E12" s="22" t="inlineStr">
        <is>
          <t>在环整定</t>
        </is>
      </c>
      <c r="F12" s="18" t="inlineStr">
        <is>
          <t>欠阻尼待重整定</t>
        </is>
      </c>
      <c r="G12" s="18" t="inlineStr">
        <is>
          <t>sim_config.py:34</t>
        </is>
      </c>
    </row>
    <row r="13">
      <c r="A13" s="14" t="inlineStr">
        <is>
          <t>几何与翼面驱动</t>
        </is>
      </c>
      <c r="B13" s="14" t="inlineStr">
        <is>
          <t>驱动阻尼 D</t>
        </is>
      </c>
      <c r="C13" s="15" t="n">
        <v>0.25</v>
      </c>
      <c r="D13" s="16" t="inlineStr">
        <is>
          <t>N·m·s/rad</t>
        </is>
      </c>
      <c r="E13" s="22" t="inlineStr">
        <is>
          <t>在环整定</t>
        </is>
      </c>
      <c r="F13" s="14" t="inlineStr">
        <is>
          <t>欠阻尼待重整定</t>
        </is>
      </c>
      <c r="G13" s="14" t="inlineStr">
        <is>
          <t>sim_config.py:35</t>
        </is>
      </c>
    </row>
    <row r="14">
      <c r="A14" s="18" t="inlineStr">
        <is>
          <t>几何与翼面驱动</t>
        </is>
      </c>
      <c r="B14" s="18" t="inlineStr">
        <is>
          <t>机械限位（拍动 / 扭转）</t>
        </is>
      </c>
      <c r="C14" s="19" t="inlineStr">
        <is>
          <t>±1.4 / ±1.0</t>
        </is>
      </c>
      <c r="D14" s="20" t="inlineStr">
        <is>
          <t>rad</t>
        </is>
      </c>
      <c r="E14" s="17" t="inlineStr">
        <is>
          <t>实测零件</t>
        </is>
      </c>
      <c r="F14" s="18" t="inlineStr">
        <is>
          <t>摆幅裕度指标</t>
        </is>
      </c>
      <c r="G14" s="18" t="inlineStr">
        <is>
          <t>fwav_15dof_2.urdf:51,65</t>
        </is>
      </c>
    </row>
    <row r="15" ht="20" customHeight="1">
      <c r="A15" s="12" t="inlineStr">
        <is>
          <t>气动力律系数（文献与经验值）</t>
        </is>
      </c>
      <c r="B15" s="13" t="n"/>
      <c r="C15" s="13" t="n"/>
      <c r="D15" s="13" t="n"/>
      <c r="E15" s="13" t="n"/>
      <c r="F15" s="13" t="n"/>
      <c r="G15" s="13" t="n"/>
    </row>
    <row r="16">
      <c r="A16" s="18" t="inlineStr">
        <is>
          <t>气动力律系数（文献与经验值）</t>
        </is>
      </c>
      <c r="B16" s="18" t="inlineStr">
        <is>
          <t>C_N 拟合幅值 / 相位</t>
        </is>
      </c>
      <c r="C16" s="19" t="inlineStr">
        <is>
          <t>3.59 / 9.1</t>
        </is>
      </c>
      <c r="D16" s="20" t="inlineStr">
        <is>
          <t>— / °</t>
        </is>
      </c>
      <c r="E16" s="23" t="inlineStr">
        <is>
          <t>文献</t>
        </is>
      </c>
      <c r="F16" s="18" t="inlineStr">
        <is>
          <t>Sane &amp; Dickinson 2002</t>
        </is>
      </c>
      <c r="G16" s="18" t="inlineStr">
        <is>
          <t>sim_config.py:255-256</t>
        </is>
      </c>
    </row>
    <row r="17">
      <c r="A17" s="14" t="inlineStr">
        <is>
          <t>气动力律系数（文献与经验值）</t>
        </is>
      </c>
      <c r="B17" s="14" t="inlineStr">
        <is>
          <t>C_T 拟合幅值 / 偏置</t>
        </is>
      </c>
      <c r="C17" s="15" t="inlineStr">
        <is>
          <t>1.86 / 0.86</t>
        </is>
      </c>
      <c r="D17" s="16" t="inlineStr">
        <is>
          <t>— / —</t>
        </is>
      </c>
      <c r="E17" s="23" t="inlineStr">
        <is>
          <t>文献</t>
        </is>
      </c>
      <c r="F17" s="14" t="inlineStr">
        <is>
          <t>同上</t>
        </is>
      </c>
      <c r="G17" s="14" t="inlineStr">
        <is>
          <t>sim_config.py:257-258</t>
        </is>
      </c>
    </row>
    <row r="18">
      <c r="A18" s="18" t="inlineStr">
        <is>
          <t>气动力律系数（文献与经验值）</t>
        </is>
      </c>
      <c r="B18" s="18" t="inlineStr">
        <is>
          <t>旋转力系数 C_ROT</t>
        </is>
      </c>
      <c r="C18" s="19" t="n">
        <v>1.55</v>
      </c>
      <c r="D18" s="20" t="inlineStr">
        <is>
          <t>—</t>
        </is>
      </c>
      <c r="E18" s="24" t="inlineStr">
        <is>
          <t>工程估算</t>
        </is>
      </c>
      <c r="F18" s="18" t="inlineStr">
        <is>
          <t>经验值</t>
        </is>
      </c>
      <c r="G18" s="18" t="inlineStr">
        <is>
          <t>sim_config.py:260</t>
        </is>
      </c>
    </row>
    <row r="19">
      <c r="A19" s="14" t="inlineStr">
        <is>
          <t>气动力律系数（文献与经验值）</t>
        </is>
      </c>
      <c r="B19" s="14" t="inlineStr">
        <is>
          <t>附加质量系数</t>
        </is>
      </c>
      <c r="C19" s="15" t="n">
        <v>0.7</v>
      </c>
      <c r="D19" s="16" t="inlineStr">
        <is>
          <t>—</t>
        </is>
      </c>
      <c r="E19" s="24" t="inlineStr">
        <is>
          <t>工程估算</t>
        </is>
      </c>
      <c r="F19" s="14" t="inlineStr">
        <is>
          <t>经验区间 0.5~1.0</t>
        </is>
      </c>
      <c r="G19" s="14" t="inlineStr">
        <is>
          <t>sim_config.py:263</t>
        </is>
      </c>
    </row>
    <row r="20">
      <c r="A20" s="18" t="inlineStr">
        <is>
          <t>气动力律系数（文献与经验值）</t>
        </is>
      </c>
      <c r="B20" s="18" t="inlineStr">
        <is>
          <t>旋转阻尼 WING_ROT_DAMP</t>
        </is>
      </c>
      <c r="C20" s="19" t="n">
        <v>0.1</v>
      </c>
      <c r="D20" s="20" t="inlineStr">
        <is>
          <t>—</t>
        </is>
      </c>
      <c r="E20" s="24" t="inlineStr">
        <is>
          <t>数值稳定取值</t>
        </is>
      </c>
      <c r="F20" s="18" t="inlineStr">
        <is>
          <t>挂账·非物理测量</t>
        </is>
      </c>
      <c r="G20" s="18" t="inlineStr">
        <is>
          <t>sim_config.py:268</t>
        </is>
      </c>
    </row>
    <row r="21">
      <c r="A21" s="14" t="inlineStr">
        <is>
          <t>气动力律系数（文献与经验值）</t>
        </is>
      </c>
      <c r="B21" s="14" t="inlineStr">
        <is>
          <t>空气密度 ρ</t>
        </is>
      </c>
      <c r="C21" s="15" t="n">
        <v>1.225</v>
      </c>
      <c r="D21" s="16" t="inlineStr">
        <is>
          <t>kg/m³</t>
        </is>
      </c>
      <c r="E21" s="23" t="inlineStr">
        <is>
          <t>文献</t>
        </is>
      </c>
      <c r="F21" s="14" t="inlineStr">
        <is>
          <t>海平面 15 °C</t>
        </is>
      </c>
      <c r="G21" s="14" t="inlineStr">
        <is>
          <t>sim_config.py:253</t>
        </is>
      </c>
    </row>
    <row r="22" ht="20" customHeight="1">
      <c r="A22" s="12" t="inlineStr">
        <is>
          <t>滑流 · 尾翼 · 机身</t>
        </is>
      </c>
      <c r="B22" s="13" t="n"/>
      <c r="C22" s="13" t="n"/>
      <c r="D22" s="13" t="n"/>
      <c r="E22" s="13" t="n"/>
      <c r="F22" s="13" t="n"/>
      <c r="G22" s="13" t="n"/>
    </row>
    <row r="23">
      <c r="A23" s="14" t="inlineStr">
        <is>
          <t>滑流 · 尾翼 · 机身</t>
        </is>
      </c>
      <c r="B23" s="14" t="inlineStr">
        <is>
          <t>滑流换算 SLIP_V_PER_HZ</t>
        </is>
      </c>
      <c r="C23" s="15" t="n">
        <v>1.25</v>
      </c>
      <c r="D23" s="16" t="inlineStr">
        <is>
          <t>m/s/Hz</t>
        </is>
      </c>
      <c r="E23" s="21" t="inlineStr">
        <is>
          <t>理论锚定</t>
        </is>
      </c>
      <c r="F23" s="14" t="inlineStr">
        <is>
          <t>配平点锚定一次</t>
        </is>
      </c>
      <c r="G23" s="14" t="inlineStr">
        <is>
          <t>sim_config.py:375</t>
        </is>
      </c>
    </row>
    <row r="24">
      <c r="A24" s="18" t="inlineStr">
        <is>
          <t>滑流 · 尾翼 · 机身</t>
        </is>
      </c>
      <c r="B24" s="18" t="inlineStr">
        <is>
          <t>滑流标定 SLIP_K</t>
        </is>
      </c>
      <c r="C24" s="19" t="n">
        <v>1</v>
      </c>
      <c r="D24" s="20" t="inlineStr">
        <is>
          <t>—</t>
        </is>
      </c>
      <c r="E24" s="24" t="inlineStr">
        <is>
          <t>工程估算</t>
        </is>
      </c>
      <c r="F24" s="18" t="inlineStr">
        <is>
          <t>挂账·待台架标定</t>
        </is>
      </c>
      <c r="G24" s="18" t="inlineStr">
        <is>
          <t>sim_config.py:376</t>
        </is>
      </c>
    </row>
    <row r="25">
      <c r="A25" s="14" t="inlineStr">
        <is>
          <t>滑流 · 尾翼 · 机身</t>
        </is>
      </c>
      <c r="B25" s="14" t="inlineStr">
        <is>
          <t>尾翼面积 / 力臂 / 半展</t>
        </is>
      </c>
      <c r="C25" s="15" t="inlineStr">
        <is>
          <t>0.015 / −0.45 / 0.15</t>
        </is>
      </c>
      <c r="D25" s="16" t="inlineStr">
        <is>
          <t>m² / m / m</t>
        </is>
      </c>
      <c r="E25" s="17" t="inlineStr">
        <is>
          <t>实测零件</t>
        </is>
      </c>
      <c r="F25" s="14" t="inlineStr">
        <is>
          <t>第 6 轮减半</t>
        </is>
      </c>
      <c r="G25" s="14" t="inlineStr">
        <is>
          <t>sim_config.py:352-354</t>
        </is>
      </c>
    </row>
    <row r="26">
      <c r="A26" s="18" t="inlineStr">
        <is>
          <t>滑流 · 尾翼 · 机身</t>
        </is>
      </c>
      <c r="B26" s="18" t="inlineStr">
        <is>
          <t>尾翼法向力斜率 CN_SLOPE</t>
        </is>
      </c>
      <c r="C26" s="19" t="n">
        <v>3.5</v>
      </c>
      <c r="D26" s="20" t="inlineStr">
        <is>
          <t>1/rad</t>
        </is>
      </c>
      <c r="E26" s="21" t="inlineStr">
        <is>
          <t>理论锚定</t>
        </is>
      </c>
      <c r="F26" s="18" t="inlineStr">
        <is>
          <t>平板小角理论</t>
        </is>
      </c>
      <c r="G26" s="18" t="inlineStr">
        <is>
          <t>sim_config.py:355</t>
        </is>
      </c>
    </row>
    <row r="27">
      <c r="A27" s="14" t="inlineStr">
        <is>
          <t>滑流 · 尾翼 · 机身</t>
        </is>
      </c>
      <c r="B27" s="14" t="inlineStr">
        <is>
          <t>尾翼失速钳位角</t>
        </is>
      </c>
      <c r="C27" s="15" t="n">
        <v>20</v>
      </c>
      <c r="D27" s="16" t="inlineStr">
        <is>
          <t>°</t>
        </is>
      </c>
      <c r="E27" s="21" t="inlineStr">
        <is>
          <t>理论锚定</t>
        </is>
      </c>
      <c r="F27" s="14" t="inlineStr">
        <is>
          <t>—</t>
        </is>
      </c>
      <c r="G27" s="14" t="inlineStr">
        <is>
          <t>sim_config.py:356</t>
        </is>
      </c>
    </row>
    <row r="28">
      <c r="A28" s="18" t="inlineStr">
        <is>
          <t>滑流 · 尾翼 · 机身</t>
        </is>
      </c>
      <c r="B28" s="18" t="inlineStr">
        <is>
          <t>机身阻力系数 / 迎风面积</t>
        </is>
      </c>
      <c r="C28" s="19" t="inlineStr">
        <is>
          <t>0.8 / 0.0038</t>
        </is>
      </c>
      <c r="D28" s="20" t="inlineStr">
        <is>
          <t>— / m²</t>
        </is>
      </c>
      <c r="E28" s="23" t="inlineStr">
        <is>
          <t>文献</t>
        </is>
      </c>
      <c r="F28" s="18" t="inlineStr">
        <is>
          <t>圆柱教科书值</t>
        </is>
      </c>
      <c r="G28" s="18" t="inlineStr">
        <is>
          <t>sim_config.py:359-360</t>
        </is>
      </c>
    </row>
    <row r="29" ht="20" customHeight="1">
      <c r="A29" s="12" t="inlineStr">
        <is>
          <t>拍动波形运动学（第 2 轮推力搜索定案）</t>
        </is>
      </c>
      <c r="B29" s="13" t="n"/>
      <c r="C29" s="13" t="n"/>
      <c r="D29" s="13" t="n"/>
      <c r="E29" s="13" t="n"/>
      <c r="F29" s="13" t="n"/>
      <c r="G29" s="13" t="n"/>
    </row>
    <row r="30">
      <c r="A30" s="18" t="inlineStr">
        <is>
          <t>拍动波形运动学（第 2 轮推力搜索定案）</t>
        </is>
      </c>
      <c r="B30" s="18" t="inlineStr">
        <is>
          <t>拍频基准 / 拍幅</t>
        </is>
      </c>
      <c r="C30" s="19" t="inlineStr">
        <is>
          <t>2.5 / 35</t>
        </is>
      </c>
      <c r="D30" s="20" t="inlineStr">
        <is>
          <t>Hz / °</t>
        </is>
      </c>
      <c r="E30" s="22" t="inlineStr">
        <is>
          <t>在环整定</t>
        </is>
      </c>
      <c r="F30" s="18" t="inlineStr">
        <is>
          <t>700 g 标定</t>
        </is>
      </c>
      <c r="G30" s="18" t="inlineStr">
        <is>
          <t>sim_config.py:162-163</t>
        </is>
      </c>
    </row>
    <row r="31">
      <c r="A31" s="14" t="inlineStr">
        <is>
          <t>拍动波形运动学（第 2 轮推力搜索定案）</t>
        </is>
      </c>
      <c r="B31" s="14" t="inlineStr">
        <is>
          <t>目标攻角 ALPHA_SET</t>
        </is>
      </c>
      <c r="C31" s="15" t="n">
        <v>40</v>
      </c>
      <c r="D31" s="16" t="inlineStr">
        <is>
          <t>°</t>
        </is>
      </c>
      <c r="E31" s="21" t="inlineStr">
        <is>
          <t>推算</t>
        </is>
      </c>
      <c r="F31" s="14" t="inlineStr">
        <is>
          <t>待 215 g 重搜索</t>
        </is>
      </c>
      <c r="G31" s="14" t="inlineStr">
        <is>
          <t>sim_config.py:168</t>
        </is>
      </c>
    </row>
    <row r="32">
      <c r="A32" s="18" t="inlineStr">
        <is>
          <t>拍动波形运动学（第 2 轮推力搜索定案）</t>
        </is>
      </c>
      <c r="B32" s="18" t="inlineStr">
        <is>
          <t>下扑时间比 SPLIT</t>
        </is>
      </c>
      <c r="C32" s="19" t="n">
        <v>0.3</v>
      </c>
      <c r="D32" s="20" t="inlineStr">
        <is>
          <t>—</t>
        </is>
      </c>
      <c r="E32" s="21" t="inlineStr">
        <is>
          <t>推算</t>
        </is>
      </c>
      <c r="F32" s="18" t="inlineStr">
        <is>
          <t>待 215 g 重搜索</t>
        </is>
      </c>
      <c r="G32" s="18" t="inlineStr">
        <is>
          <t>sim_config.py:170</t>
        </is>
      </c>
    </row>
    <row r="33">
      <c r="A33" s="14" t="inlineStr">
        <is>
          <t>拍动波形运动学（第 2 轮推力搜索定案）</t>
        </is>
      </c>
      <c r="B33" s="14" t="inlineStr">
        <is>
          <t>俯仰超前 PITCH_LAG_S</t>
        </is>
      </c>
      <c r="C33" s="15" t="n">
        <v>-0.06</v>
      </c>
      <c r="D33" s="16" t="inlineStr">
        <is>
          <t>s</t>
        </is>
      </c>
      <c r="E33" s="21" t="inlineStr">
        <is>
          <t>推算</t>
        </is>
      </c>
      <c r="F33" s="14" t="inlineStr">
        <is>
          <t>待 215 g 重搜索</t>
        </is>
      </c>
      <c r="G33" s="14" t="inlineStr">
        <is>
          <t>sim_config.py:171</t>
        </is>
      </c>
    </row>
    <row r="34">
      <c r="A34" s="18" t="inlineStr">
        <is>
          <t>拍动波形运动学（第 2 轮推力搜索定案）</t>
        </is>
      </c>
      <c r="B34" s="18" t="inlineStr">
        <is>
          <t>扑动面偏置 MEAN</t>
        </is>
      </c>
      <c r="C34" s="19" t="n">
        <v>-15</v>
      </c>
      <c r="D34" s="20" t="inlineStr">
        <is>
          <t>°</t>
        </is>
      </c>
      <c r="E34" s="21" t="inlineStr">
        <is>
          <t>推算</t>
        </is>
      </c>
      <c r="F34" s="18" t="inlineStr">
        <is>
          <t>待 215 g 重搜索</t>
        </is>
      </c>
      <c r="G34" s="18" t="inlineStr">
        <is>
          <t>sim_config.py:172</t>
        </is>
      </c>
    </row>
    <row r="35" ht="20" customHeight="1">
      <c r="A35" s="12" t="inlineStr">
        <is>
          <t>控制器增益（串级 PID）</t>
        </is>
      </c>
      <c r="B35" s="13" t="n"/>
      <c r="C35" s="13" t="n"/>
      <c r="D35" s="13" t="n"/>
      <c r="E35" s="13" t="n"/>
      <c r="F35" s="13" t="n"/>
      <c r="G35" s="13" t="n"/>
    </row>
    <row r="36">
      <c r="A36" s="18" t="inlineStr">
        <is>
          <t>控制器增益（串级 PID）</t>
        </is>
      </c>
      <c r="B36" s="18" t="inlineStr">
        <is>
          <t>舵效 B_ELEV / B_AIL / B_RUD</t>
        </is>
      </c>
      <c r="C36" s="19" t="inlineStr">
        <is>
          <t>0.724 / 0.241 / 0.723</t>
        </is>
      </c>
      <c r="D36" s="20" t="inlineStr">
        <is>
          <t>N·m/rad</t>
        </is>
      </c>
      <c r="E36" s="25" t="inlineStr">
        <is>
          <t>钉态直测</t>
        </is>
      </c>
      <c r="F36" s="18" t="inlineStr">
        <is>
          <t>2026-09-18</t>
        </is>
      </c>
      <c r="G36" s="18" t="inlineStr">
        <is>
          <t>sim_config.py:521-523</t>
        </is>
      </c>
    </row>
    <row r="37">
      <c r="A37" s="14" t="inlineStr">
        <is>
          <t>控制器增益（串级 PID）</t>
        </is>
      </c>
      <c r="B37" s="14" t="inlineStr">
        <is>
          <t>角度外环 KP_A</t>
        </is>
      </c>
      <c r="C37" s="15" t="n">
        <v>1.2</v>
      </c>
      <c r="D37" s="16" t="inlineStr">
        <is>
          <t>1/s</t>
        </is>
      </c>
      <c r="E37" s="22" t="inlineStr">
        <is>
          <t>在环整定</t>
        </is>
      </c>
      <c r="F37" s="14" t="inlineStr">
        <is>
          <t>2.4 已回退</t>
        </is>
      </c>
      <c r="G37" s="14" t="inlineStr">
        <is>
          <t>sim_config.py:525</t>
        </is>
      </c>
    </row>
    <row r="38">
      <c r="A38" s="18" t="inlineStr">
        <is>
          <t>控制器增益（串级 PID）</t>
        </is>
      </c>
      <c r="B38" s="18" t="inlineStr">
        <is>
          <t>俯仰积分 KI_A / 限幅</t>
        </is>
      </c>
      <c r="C38" s="19" t="inlineStr">
        <is>
          <t>0.10 / 2.5</t>
        </is>
      </c>
      <c r="D38" s="20" t="inlineStr">
        <is>
          <t>1/s² / rad·s</t>
        </is>
      </c>
      <c r="E38" s="22" t="inlineStr">
        <is>
          <t>在环整定</t>
        </is>
      </c>
      <c r="F38" s="18" t="inlineStr">
        <is>
          <t>第 14 轮</t>
        </is>
      </c>
      <c r="G38" s="18" t="inlineStr">
        <is>
          <t>sim_config.py:527-530</t>
        </is>
      </c>
    </row>
    <row r="39">
      <c r="A39" s="14" t="inlineStr">
        <is>
          <t>控制器增益（串级 PID）</t>
        </is>
      </c>
      <c r="B39" s="14" t="inlineStr">
        <is>
          <t>角速度内环 KP_R</t>
        </is>
      </c>
      <c r="C39" s="15" t="n">
        <v>0.25</v>
      </c>
      <c r="D39" s="16" t="inlineStr">
        <is>
          <t>—</t>
        </is>
      </c>
      <c r="E39" s="22" t="inlineStr">
        <is>
          <t>在环整定</t>
        </is>
      </c>
      <c r="F39" s="14" t="inlineStr">
        <is>
          <t>唯一阻尼源</t>
        </is>
      </c>
      <c r="G39" s="14" t="inlineStr">
        <is>
          <t>sim_config.py:534</t>
        </is>
      </c>
    </row>
    <row r="40">
      <c r="A40" s="18" t="inlineStr">
        <is>
          <t>控制器增益（串级 PID）</t>
        </is>
      </c>
      <c r="B40" s="18" t="inlineStr">
        <is>
          <t>舵偏限幅 DELTA_MAX</t>
        </is>
      </c>
      <c r="C40" s="19" t="n">
        <v>0.3</v>
      </c>
      <c r="D40" s="20" t="inlineStr">
        <is>
          <t>rad</t>
        </is>
      </c>
      <c r="E40" s="22" t="inlineStr">
        <is>
          <t>在环整定</t>
        </is>
      </c>
      <c r="F40" s="18" t="inlineStr">
        <is>
          <t>第 17 轮</t>
        </is>
      </c>
      <c r="G40" s="18" t="inlineStr">
        <is>
          <t>sim_config.py:538</t>
        </is>
      </c>
    </row>
    <row r="41">
      <c r="A41" s="14" t="inlineStr">
        <is>
          <t>控制器增益（串级 PID）</t>
        </is>
      </c>
      <c r="B41" s="14" t="inlineStr">
        <is>
          <t>翼差动 K_DA / K_DA_R / 限幅</t>
        </is>
      </c>
      <c r="C41" s="15" t="inlineStr">
        <is>
          <t>0.04 / 0.008 / 0.08</t>
        </is>
      </c>
      <c r="D41" s="16" t="inlineStr">
        <is>
          <t>— / — / rad</t>
        </is>
      </c>
      <c r="E41" s="22" t="inlineStr">
        <is>
          <t>在环整定</t>
        </is>
      </c>
      <c r="F41" s="14" t="inlineStr">
        <is>
          <t>滚转主通道</t>
        </is>
      </c>
      <c r="G41" s="14" t="inlineStr">
        <is>
          <t>sim_config.py:565-568</t>
        </is>
      </c>
    </row>
    <row r="42" ht="20" customHeight="1">
      <c r="A42" s="12" t="inlineStr">
        <is>
          <t>TECS 与保护参数（第 15–18 轮）</t>
        </is>
      </c>
      <c r="B42" s="13" t="n"/>
      <c r="C42" s="13" t="n"/>
      <c r="D42" s="13" t="n"/>
      <c r="E42" s="13" t="n"/>
      <c r="F42" s="13" t="n"/>
      <c r="G42" s="13" t="n"/>
    </row>
    <row r="43">
      <c r="A43" s="14" t="inlineStr">
        <is>
          <t>TECS 与保护参数（第 15–18 轮）</t>
        </is>
      </c>
      <c r="B43" s="14" t="inlineStr">
        <is>
          <t>总比能→拍频 KF_P / KF_I</t>
        </is>
      </c>
      <c r="C43" s="15" t="inlineStr">
        <is>
          <t>0.03 / 0.005</t>
        </is>
      </c>
      <c r="D43" s="16" t="inlineStr">
        <is>
          <t>Hz/(J/kg)</t>
        </is>
      </c>
      <c r="E43" s="22" t="inlineStr">
        <is>
          <t>在环整定</t>
        </is>
      </c>
      <c r="F43" s="14" t="inlineStr">
        <is>
          <t>积分限幅 60</t>
        </is>
      </c>
      <c r="G43" s="14" t="inlineStr">
        <is>
          <t>sim_config.py:594-597</t>
        </is>
      </c>
    </row>
    <row r="44">
      <c r="A44" s="18" t="inlineStr">
        <is>
          <t>TECS 与保护参数（第 15–18 轮）</t>
        </is>
      </c>
      <c r="B44" s="18" t="inlineStr">
        <is>
          <t>分配误差→俯仰 KP_E / KD_V</t>
        </is>
      </c>
      <c r="C44" s="19" t="inlineStr">
        <is>
          <t>0.004 / 0.15</t>
        </is>
      </c>
      <c r="D44" s="20" t="inlineStr">
        <is>
          <t>rad/(J/kg)</t>
        </is>
      </c>
      <c r="E44" s="22" t="inlineStr">
        <is>
          <t>在环整定</t>
        </is>
      </c>
      <c r="F44" s="18" t="inlineStr">
        <is>
          <t>EB_MAX 60 J/kg</t>
        </is>
      </c>
      <c r="G44" s="18" t="inlineStr">
        <is>
          <t>sim_config.py:598-600</t>
        </is>
      </c>
    </row>
    <row r="45">
      <c r="A45" s="14" t="inlineStr">
        <is>
          <t>TECS 与保护参数（第 15–18 轮）</t>
        </is>
      </c>
      <c r="B45" s="14" t="inlineStr">
        <is>
          <t>巡航拍频保护下限 FREQ_AP_MIN</t>
        </is>
      </c>
      <c r="C45" s="15" t="n">
        <v>2.5</v>
      </c>
      <c r="D45" s="16" t="inlineStr">
        <is>
          <t>Hz</t>
        </is>
      </c>
      <c r="E45" s="22" t="inlineStr">
        <is>
          <t>在环整定</t>
        </is>
      </c>
      <c r="F45" s="14" t="inlineStr">
        <is>
          <t>四轮证据链</t>
        </is>
      </c>
      <c r="G45" s="14" t="inlineStr">
        <is>
          <t>sim_config.py:607</t>
        </is>
      </c>
    </row>
    <row r="46">
      <c r="A46" s="18" t="inlineStr">
        <is>
          <t>TECS 与保护参数（第 15–18 轮）</t>
        </is>
      </c>
      <c r="B46" s="18" t="inlineStr">
        <is>
          <t>接地联锁 GROUND_Z</t>
        </is>
      </c>
      <c r="C46" s="19" t="n">
        <v>0.3</v>
      </c>
      <c r="D46" s="20" t="inlineStr">
        <is>
          <t>m</t>
        </is>
      </c>
      <c r="E46" s="22" t="inlineStr">
        <is>
          <t>在环整定</t>
        </is>
      </c>
      <c r="F46" s="18" t="inlineStr">
        <is>
          <t>怠速断油</t>
        </is>
      </c>
      <c r="G46" s="18" t="inlineStr">
        <is>
          <t>sim_config.py:605</t>
        </is>
      </c>
    </row>
    <row r="47">
      <c r="A47" s="14" t="inlineStr">
        <is>
          <t>TECS 与保护参数（第 15–18 轮）</t>
        </is>
      </c>
      <c r="B47" s="14" t="inlineStr">
        <is>
          <t>尾翼攻角前馈 ALPHA_FF_GAIN</t>
        </is>
      </c>
      <c r="C47" s="15" t="n">
        <v>1.3</v>
      </c>
      <c r="D47" s="16" t="inlineStr">
        <is>
          <t>—</t>
        </is>
      </c>
      <c r="E47" s="25" t="inlineStr">
        <is>
          <t>台架辨识</t>
        </is>
      </c>
      <c r="F47" s="14" t="inlineStr">
        <is>
          <t>第 10 轮标定</t>
        </is>
      </c>
      <c r="G47" s="14" t="inlineStr">
        <is>
          <t>sim_config.py:603</t>
        </is>
      </c>
    </row>
    <row r="48">
      <c r="A48" s="18" t="inlineStr">
        <is>
          <t>TECS 与保护参数（第 15–18 轮）</t>
        </is>
      </c>
      <c r="B48" s="18" t="inlineStr">
        <is>
          <t>巡航拍频基准 FREQ_HOVER</t>
        </is>
      </c>
      <c r="C48" s="19" t="n">
        <v>3.3</v>
      </c>
      <c r="D48" s="20" t="inlineStr">
        <is>
          <t>Hz</t>
        </is>
      </c>
      <c r="E48" s="25" t="inlineStr">
        <is>
          <t>台架辨识</t>
        </is>
      </c>
      <c r="F48" s="18" t="inlineStr">
        <is>
          <t>零推力点</t>
        </is>
      </c>
      <c r="G48" s="18" t="inlineStr">
        <is>
          <t>sim_config.py:628</t>
        </is>
      </c>
    </row>
    <row r="49">
      <c r="A49" s="14" t="inlineStr">
        <is>
          <t>TECS 与保护参数（第 15–18 轮）</t>
        </is>
      </c>
      <c r="B49" s="14" t="inlineStr">
        <is>
          <t>自驾拍频上限 FREQ_MAX_AP</t>
        </is>
      </c>
      <c r="C49" s="15" t="n">
        <v>5.5</v>
      </c>
      <c r="D49" s="16" t="inlineStr">
        <is>
          <t>Hz</t>
        </is>
      </c>
      <c r="E49" s="22" t="inlineStr">
        <is>
          <t>在环整定</t>
        </is>
      </c>
      <c r="F49" s="14" t="inlineStr">
        <is>
          <t>防弹射</t>
        </is>
      </c>
      <c r="G49" s="14" t="inlineStr">
        <is>
          <t>sim_config.py:630</t>
        </is>
      </c>
    </row>
    <row r="50">
      <c r="A50" s="18" t="inlineStr">
        <is>
          <t>TECS 与保护参数（第 15–18 轮）</t>
        </is>
      </c>
      <c r="B50" s="18" t="inlineStr">
        <is>
          <t>发射注入 LAUNCH_VX / LAUNCH_PITCH</t>
        </is>
      </c>
      <c r="C50" s="19" t="inlineStr">
        <is>
          <t>8.0 / −0.20</t>
        </is>
      </c>
      <c r="D50" s="20" t="inlineStr">
        <is>
          <t>m/s / rad</t>
        </is>
      </c>
      <c r="E50" s="21" t="inlineStr">
        <is>
          <t>推算</t>
        </is>
      </c>
      <c r="F50" s="18" t="inlineStr">
        <is>
          <t>待 215 g 重推导</t>
        </is>
      </c>
      <c r="G50" s="18" t="inlineStr">
        <is>
          <t>sim_config.py:447-448</t>
        </is>
      </c>
    </row>
    <row r="51" ht="20" customHeight="1">
      <c r="A51" s="12" t="inlineStr">
        <is>
          <t>辨识调度律（台架真值）</t>
        </is>
      </c>
      <c r="B51" s="13" t="n"/>
      <c r="C51" s="13" t="n"/>
      <c r="D51" s="13" t="n"/>
      <c r="E51" s="13" t="n"/>
      <c r="F51" s="13" t="n"/>
      <c r="G51" s="13" t="n"/>
    </row>
    <row r="52">
      <c r="A52" s="18" t="inlineStr">
        <is>
          <t>辨识调度律（台架真值）</t>
        </is>
      </c>
      <c r="B52" s="18" t="inlineStr">
        <is>
          <t>翼差动舵效 B_dA(f)</t>
        </is>
      </c>
      <c r="C52" s="19" t="inlineStr">
        <is>
          <t>5.2·f²</t>
        </is>
      </c>
      <c r="D52" s="20" t="inlineStr">
        <is>
          <t>N·m/rad</t>
        </is>
      </c>
      <c r="E52" s="25" t="inlineStr">
        <is>
          <t>台架辨识</t>
        </is>
      </c>
      <c r="F52" s="18" t="inlineStr">
        <is>
          <t>整定点 19.0 @ 1.9 Hz</t>
        </is>
      </c>
      <c r="G52" s="18" t="inlineStr">
        <is>
          <t>sim_config.py:617-620</t>
        </is>
      </c>
    </row>
    <row r="53">
      <c r="A53" s="14" t="inlineStr">
        <is>
          <t>辨识调度律（台架真值）</t>
        </is>
      </c>
      <c r="B53" s="14" t="inlineStr">
        <is>
          <t>尾翼舵效 K_B_ELEV / RUD</t>
        </is>
      </c>
      <c r="C53" s="15" t="n">
        <v>-0.0145</v>
      </c>
      <c r="D53" s="16" t="inlineStr">
        <is>
          <t>N·m/rad/(m/s)²</t>
        </is>
      </c>
      <c r="E53" s="25" t="inlineStr">
        <is>
          <t>台架辨识</t>
        </is>
      </c>
      <c r="F53" s="14" t="inlineStr">
        <is>
          <t>速压平方律</t>
        </is>
      </c>
      <c r="G53" s="14" t="inlineStr">
        <is>
          <t>sim_config.py:573-575</t>
        </is>
      </c>
    </row>
    <row r="54">
      <c r="A54" s="18" t="inlineStr">
        <is>
          <t>辨识调度律（台架真值）</t>
        </is>
      </c>
      <c r="B54" s="18" t="inlineStr">
        <is>
          <t>尾翼舵效 K_B_AIL</t>
        </is>
      </c>
      <c r="C54" s="19" t="n">
        <v>0.00483</v>
      </c>
      <c r="D54" s="20" t="inlineStr">
        <is>
          <t>N·m/rad/(m/s)²</t>
        </is>
      </c>
      <c r="E54" s="25" t="inlineStr">
        <is>
          <t>台架辨识</t>
        </is>
      </c>
      <c r="F54" s="18" t="inlineStr">
        <is>
          <t>速压平方律</t>
        </is>
      </c>
      <c r="G54" s="18" t="inlineStr">
        <is>
          <t>sim_config.py:574</t>
        </is>
      </c>
    </row>
    <row r="55">
      <c r="A55" s="14" t="inlineStr">
        <is>
          <t>辨识调度律（台架真值）</t>
        </is>
      </c>
      <c r="B55" s="14" t="inlineStr">
        <is>
          <t>俯仰→前向力 ∂Fx/∂θ</t>
        </is>
      </c>
      <c r="C55" s="15" t="n">
        <v>7.4</v>
      </c>
      <c r="D55" s="16" t="inlineStr">
        <is>
          <t>N/rad</t>
        </is>
      </c>
      <c r="E55" s="25" t="inlineStr">
        <is>
          <t>台架辨识</t>
        </is>
      </c>
      <c r="F55" s="14" t="inlineStr">
        <is>
          <t>配平邻域斜率</t>
        </is>
      </c>
      <c r="G55" s="14" t="inlineStr">
        <is>
          <t>sim_config.py:622</t>
        </is>
      </c>
    </row>
    <row r="56">
      <c r="A56" s="18" t="inlineStr">
        <is>
          <t>辨识调度律（台架真值）</t>
        </is>
      </c>
      <c r="B56" s="18" t="inlineStr">
        <is>
          <t>速度阻尼 ∂Fx/∂v</t>
        </is>
      </c>
      <c r="C56" s="19" t="n">
        <v>3.17</v>
      </c>
      <c r="D56" s="20" t="inlineStr">
        <is>
          <t>N/(m/s)</t>
        </is>
      </c>
      <c r="E56" s="25" t="inlineStr">
        <is>
          <t>台架辨识</t>
        </is>
      </c>
      <c r="F56" s="18" t="inlineStr">
        <is>
          <t>前馈补偿</t>
        </is>
      </c>
      <c r="G56" s="18" t="inlineStr">
        <is>
          <t>sim_config.py:625</t>
        </is>
      </c>
    </row>
    <row r="57">
      <c r="A57" s="14" t="inlineStr">
        <is>
          <t>辨识调度律（台架真值）</t>
        </is>
      </c>
      <c r="B57" s="14" t="inlineStr">
        <is>
          <t>悬停升力代理 k_f</t>
        </is>
      </c>
      <c r="C57" s="15" t="n">
        <v>1.95</v>
      </c>
      <c r="D57" s="16" t="inlineStr">
        <is>
          <t>N/Hz²</t>
        </is>
      </c>
      <c r="E57" s="25" t="inlineStr">
        <is>
          <t>台架辨识</t>
        </is>
      </c>
      <c r="F57" s="14" t="inlineStr">
        <is>
          <t>RL 环境用</t>
        </is>
      </c>
      <c r="G57" s="14" t="inlineStr">
        <is>
          <t>rl/hover_env.py:21</t>
        </is>
      </c>
    </row>
  </sheetData>
  <autoFilter ref="A1:G57"/>
  <mergeCells count="8">
    <mergeCell ref="A9:G9"/>
    <mergeCell ref="A22:G22"/>
    <mergeCell ref="A35:G35"/>
    <mergeCell ref="A2:G2"/>
    <mergeCell ref="A15:G15"/>
    <mergeCell ref="A29:G29"/>
    <mergeCell ref="A51:G51"/>
    <mergeCell ref="A42:G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6" customWidth="1" min="3" max="3"/>
    <col width="18" customWidth="1" min="4" max="4"/>
    <col width="46" customWidth="1" min="5" max="5"/>
    <col width="34" customWidth="1" min="6" max="6"/>
  </cols>
  <sheetData>
    <row r="1" ht="22" customHeight="1">
      <c r="A1" s="11" t="inlineStr">
        <is>
          <t>名称</t>
        </is>
      </c>
      <c r="B1" s="11" t="inlineStr">
        <is>
          <t>公式 / 换算关系</t>
        </is>
      </c>
      <c r="C1" s="11" t="inlineStr">
        <is>
          <t>系数取值</t>
        </is>
      </c>
      <c r="D1" s="11" t="inlineStr">
        <is>
          <t>处置类别</t>
        </is>
      </c>
      <c r="E1" s="11" t="inlineStr">
        <is>
          <t>说明</t>
        </is>
      </c>
      <c r="F1" s="11" t="inlineStr">
        <is>
          <t>出处</t>
        </is>
      </c>
    </row>
    <row r="2">
      <c r="A2" s="26" t="inlineStr">
        <is>
          <t>拍动运动学</t>
        </is>
      </c>
      <c r="B2" s="27" t="inlineStr">
        <is>
          <t>φ(t) = A·sin(2πf·t)</t>
        </is>
      </c>
      <c r="C2" s="20" t="inlineStr">
        <is>
          <t>A = 35°</t>
        </is>
      </c>
      <c r="D2" s="25" t="inlineStr">
        <is>
          <t>台架整定</t>
        </is>
      </c>
      <c r="E2" s="18" t="inlineStr">
        <is>
          <t>α 主动合成稳定 α_eff；驱动假设“翼面严格按波形运动”</t>
        </is>
      </c>
      <c r="F2" s="18" t="inlineStr">
        <is>
          <t>aero_solver.py:304-327</t>
        </is>
      </c>
    </row>
    <row r="3">
      <c r="A3" s="28" t="inlineStr">
        <is>
          <t>相对来流合成</t>
        </is>
      </c>
      <c r="B3" s="29" t="inlineStr">
        <is>
          <t>v_rel = −(v_body + φ̇·r)；α_eff = α + atan2(v_z, |v_x|)</t>
        </is>
      </c>
      <c r="C3" s="16" t="inlineStr">
        <is>
          <t>叶素速度上限 50 m/s</t>
        </is>
      </c>
      <c r="D3" s="23" t="inlineStr">
        <is>
          <t>结构定义</t>
        </is>
      </c>
      <c r="E3" s="14" t="inlineStr">
        <is>
          <t>叶素级来流合成</t>
        </is>
      </c>
      <c r="F3" s="14" t="inlineStr">
        <is>
          <t>aero_solver.py:329-359</t>
        </is>
      </c>
    </row>
    <row r="4">
      <c r="A4" s="26" t="inlineStr">
        <is>
          <t>动压</t>
        </is>
      </c>
      <c r="B4" s="27" t="inlineStr">
        <is>
          <t>q = ½ρ·|v_rel|²</t>
        </is>
      </c>
      <c r="C4" s="20" t="inlineStr">
        <is>
          <t>ρ = 1.225 kg/m³</t>
        </is>
      </c>
      <c r="D4" s="23" t="inlineStr">
        <is>
          <t>结构定义</t>
        </is>
      </c>
      <c r="E4" s="18" t="inlineStr">
        <is>
          <t>全部气动力按叶素动压加权求和</t>
        </is>
      </c>
      <c r="F4" s="18" t="inlineStr">
        <is>
          <t>aero_solver.py:361</t>
        </is>
      </c>
    </row>
    <row r="5">
      <c r="A5" s="28" t="inlineStr">
        <is>
          <t>法向力（绝对值包装·待改）</t>
        </is>
      </c>
      <c r="B5" s="29" t="inlineStr">
        <is>
          <t>dF_N = q·|C_N|·c·dr；C_N = 3.59·sin(2α + 9.1°)</t>
        </is>
      </c>
      <c r="C5" s="16" t="inlineStr">
        <is>
          <t>3.59 / 9.1°</t>
        </is>
      </c>
      <c r="D5" s="24" t="inlineStr">
        <is>
          <t>机制性缺陷·待改</t>
        </is>
      </c>
      <c r="E5" s="14" t="inlineStr">
        <is>
          <t>反向流产生 −19 N 伪推力；第二梯队改有符号形式</t>
        </is>
      </c>
      <c r="F5" s="14" t="inlineStr">
        <is>
          <t>aero_solver.py:296-298,365</t>
        </is>
      </c>
    </row>
    <row r="6">
      <c r="A6" s="26" t="inlineStr">
        <is>
          <t>切向力</t>
        </is>
      </c>
      <c r="B6" s="27" t="inlineStr">
        <is>
          <t>dF_T = q·C_T·c·dr·v̂_rel；C_T = 1.86·cos(2α + 9.1°) − 0.86</t>
        </is>
      </c>
      <c r="C6" s="20" t="inlineStr">
        <is>
          <t>1.86 / 0.86</t>
        </is>
      </c>
      <c r="D6" s="23" t="inlineStr">
        <is>
          <t>文献保留</t>
        </is>
      </c>
      <c r="E6" s="18" t="inlineStr">
        <is>
          <t>沿相对来流方向的阻力分量</t>
        </is>
      </c>
      <c r="F6" s="18" t="inlineStr">
        <is>
          <t>aero_solver.py:300-302,369-370</t>
        </is>
      </c>
    </row>
    <row r="7">
      <c r="A7" s="28" t="inlineStr">
        <is>
          <t>旋转力</t>
        </is>
      </c>
      <c r="B7" s="29" t="inlineStr">
        <is>
          <t>dF_rot = C_ROT·ρ·c·|v_rel|·α̇·dr</t>
        </is>
      </c>
      <c r="C7" s="16" t="inlineStr">
        <is>
          <t>C_ROT = 1.55</t>
        </is>
      </c>
      <c r="D7" s="23" t="inlineStr">
        <is>
          <t>文献保留</t>
        </is>
      </c>
      <c r="E7" s="14" t="inlineStr">
        <is>
          <t>旋转环量力，经验系数未经本机辨识</t>
        </is>
      </c>
      <c r="F7" s="14" t="inlineStr">
        <is>
          <t>aero_solver.py:372-374</t>
        </is>
      </c>
    </row>
    <row r="8">
      <c r="A8" s="26" t="inlineStr">
        <is>
          <t>附加质量力</t>
        </is>
      </c>
      <c r="B8" s="27" t="inlineStr">
        <is>
          <t>dF_am = −ρ·(A_s·0.7)·φ̈·r</t>
        </is>
      </c>
      <c r="C8" s="20" t="inlineStr">
        <is>
          <t>系数 0.7</t>
        </is>
      </c>
      <c r="D8" s="23" t="inlineStr">
        <is>
          <t>文献保留</t>
        </is>
      </c>
      <c r="E8" s="18" t="inlineStr">
        <is>
          <t>215 g 切换后相对机体惯量约放大 3.3 倍</t>
        </is>
      </c>
      <c r="F8" s="18" t="inlineStr">
        <is>
          <t>aero_solver.py:376-383</t>
        </is>
      </c>
    </row>
    <row r="9">
      <c r="A9" s="28" t="inlineStr">
        <is>
          <t>爬升守卫（非物理·待裁决）</t>
        </is>
      </c>
      <c r="B9" s="29" t="inlineStr">
        <is>
          <t>g(vz) = 1 / (1 + (vz/2.5)²)</t>
        </is>
      </c>
      <c r="C9" s="16" t="inlineStr">
        <is>
          <t>半衰减 2.5 m/s</t>
        </is>
      </c>
      <c r="D9" s="24" t="inlineStr">
        <is>
          <t>机制性缺陷·待裁决</t>
        </is>
      </c>
      <c r="E9" s="14" t="inlineStr">
        <is>
          <t>vz=2.5 时乘子 0.5；有符号 C_N 落地后摘除或重标定</t>
        </is>
      </c>
      <c r="F9" s="14" t="inlineStr">
        <is>
          <t>aero_solver.py:426-429</t>
        </is>
      </c>
    </row>
    <row r="10">
      <c r="A10" s="26" t="inlineStr">
        <is>
          <t>滑流合流（待台架标定）</t>
        </is>
      </c>
      <c r="B10" s="27" t="inlineStr">
        <is>
          <t>v_slip = 1.25·f；v_eff² = v_air² + v_slip²</t>
        </is>
      </c>
      <c r="C10" s="20" t="inlineStr">
        <is>
          <t>SLIP_K = 1.0</t>
        </is>
      </c>
      <c r="D10" s="21" t="inlineStr">
        <is>
          <t>理论锚定·系数待测</t>
        </is>
      </c>
      <c r="E10" s="18" t="inlineStr">
        <is>
          <t>一阶动量理论结构保留，逐档来流补测</t>
        </is>
      </c>
      <c r="F10" s="18" t="inlineStr">
        <is>
          <t>aero_solver.py:779；sim_config.py:371-376</t>
        </is>
      </c>
    </row>
    <row r="11">
      <c r="A11" s="28" t="inlineStr">
        <is>
          <t>尾翼舵效调度</t>
        </is>
      </c>
      <c r="B11" s="29" t="inlineStr">
        <is>
          <t>B(v) = K_B·v_eff²</t>
        </is>
      </c>
      <c r="C11" s="16" t="inlineStr">
        <is>
          <t>K_B = −0.0145 / 0.00483</t>
        </is>
      </c>
      <c r="D11" s="25" t="inlineStr">
        <is>
          <t>台架辨识</t>
        </is>
      </c>
      <c r="E11" s="14" t="inlineStr">
        <is>
          <t>0/3/5/8 m/s 四点验证恒定；低于 1 m/s 通道关闭</t>
        </is>
      </c>
      <c r="F11" s="14" t="inlineStr">
        <is>
          <t>sim_config.py:571-576</t>
        </is>
      </c>
    </row>
    <row r="12">
      <c r="A12" s="26" t="inlineStr">
        <is>
          <t>翼差动舵效调度</t>
        </is>
      </c>
      <c r="B12" s="27" t="inlineStr">
        <is>
          <t>B_dA(f) = 5.2·f²</t>
        </is>
      </c>
      <c r="C12" s="20" t="inlineStr">
        <is>
          <t>整定点 19.0 N·m/rad @ 1.9 Hz</t>
        </is>
      </c>
      <c r="D12" s="25" t="inlineStr">
        <is>
          <t>台架辨识</t>
        </is>
      </c>
      <c r="E12" s="18" t="inlineStr">
        <is>
          <t>调度保持环路增益恒定</t>
        </is>
      </c>
      <c r="F12" s="18" t="inlineStr">
        <is>
          <t>sim_config.py:617-620</t>
        </is>
      </c>
    </row>
    <row r="13">
      <c r="A13" s="28" t="inlineStr">
        <is>
          <t>TECS 比能分配</t>
        </is>
      </c>
      <c r="B13" s="29" t="inlineStr">
        <is>
          <t>e_E = gΔz + ½Δv²；e_B = gΔz − ½Δv²</t>
        </is>
      </c>
      <c r="C13" s="16" t="inlineStr">
        <is>
          <t>KF_P 0.03 / KP_E 0.004</t>
        </is>
      </c>
      <c r="D13" s="22" t="inlineStr">
        <is>
          <t>在环整定</t>
        </is>
      </c>
      <c r="E13" s="14" t="inlineStr">
        <is>
          <t>e_E→拍频，e_B→俯仰；比能形式与质量解耦</t>
        </is>
      </c>
      <c r="F13" s="14" t="inlineStr">
        <is>
          <t>flight_controller.py:183-240；sim_config.py:587-600</t>
        </is>
      </c>
    </row>
    <row r="14">
      <c r="A14" s="26" t="inlineStr">
        <is>
          <t>悬停升力代理</t>
        </is>
      </c>
      <c r="B14" s="27" t="inlineStr">
        <is>
          <t>L̄(f) = k_f·f²</t>
        </is>
      </c>
      <c r="C14" s="20" t="inlineStr">
        <is>
          <t>k_f = 1.95 N/Hz²</t>
        </is>
      </c>
      <c r="D14" s="25" t="inlineStr">
        <is>
          <t>台架辨识</t>
        </is>
      </c>
      <c r="E14" s="18" t="inlineStr">
        <is>
          <t>RL 悬停环境代理植物</t>
        </is>
      </c>
      <c r="F14" s="18" t="inlineStr">
        <is>
          <t>rl/hover_env.py:21</t>
        </is>
      </c>
    </row>
    <row r="15">
      <c r="A15" s="28" t="inlineStr">
        <is>
          <t>整机重力对照</t>
        </is>
      </c>
      <c r="B15" s="29" t="inlineStr">
        <is>
          <t>W = m·g</t>
        </is>
      </c>
      <c r="C15" s="16" t="inlineStr">
        <is>
          <t>0.700→6.87 N；0.215→2.11 N</t>
        </is>
      </c>
      <c r="D15" s="21" t="inlineStr">
        <is>
          <t>推算</t>
        </is>
      </c>
      <c r="E15" s="14" t="inlineStr">
        <is>
          <t>质量切换后全部力级按新体重重新定标</t>
        </is>
      </c>
      <c r="F15" s="14" t="inlineStr">
        <is>
          <t>sim_config.py:127-130</t>
        </is>
      </c>
    </row>
  </sheetData>
  <autoFilter ref="A1:F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20" customWidth="1" min="4" max="4"/>
    <col width="16" customWidth="1" min="5" max="5"/>
    <col width="34" customWidth="1" min="6" max="6"/>
  </cols>
  <sheetData>
    <row r="1" ht="22" customHeight="1">
      <c r="A1" s="11" t="inlineStr">
        <is>
          <t>项目</t>
        </is>
      </c>
      <c r="B1" s="11" t="inlineStr">
        <is>
          <t>单位</t>
        </is>
      </c>
      <c r="C1" s="11" t="inlineStr">
        <is>
          <t>旧值（700 g 口径）</t>
        </is>
      </c>
      <c r="D1" s="11" t="inlineStr">
        <is>
          <t>新值（215 g 口径）</t>
        </is>
      </c>
      <c r="E1" s="11" t="inlineStr">
        <is>
          <t>变化比（新/旧）</t>
        </is>
      </c>
      <c r="F1" s="11" t="inlineStr">
        <is>
          <t>备注</t>
        </is>
      </c>
    </row>
    <row r="2">
      <c r="A2" s="30" t="inlineStr">
        <is>
          <t>总质量</t>
        </is>
      </c>
      <c r="B2" s="31" t="inlineStr">
        <is>
          <t>g</t>
        </is>
      </c>
      <c r="C2" s="31" t="n">
        <v>700</v>
      </c>
      <c r="D2" s="31" t="n">
        <v>215</v>
      </c>
      <c r="E2" s="32">
        <f>D2/C2</f>
        <v/>
      </c>
      <c r="F2" s="31" t="inlineStr">
        <is>
          <t>工作令·表一口径</t>
        </is>
      </c>
    </row>
    <row r="3">
      <c r="A3" s="33" t="inlineStr">
        <is>
          <t>整机重力</t>
        </is>
      </c>
      <c r="B3" s="34" t="inlineStr">
        <is>
          <t>N</t>
        </is>
      </c>
      <c r="C3" s="34" t="n">
        <v>6.87</v>
      </c>
      <c r="D3" s="34" t="n">
        <v>2.11</v>
      </c>
      <c r="E3" s="35">
        <f>D3/C3</f>
        <v/>
      </c>
      <c r="F3" s="34" t="inlineStr">
        <is>
          <t>由质量乘 9.81 换算</t>
        </is>
      </c>
    </row>
    <row r="4">
      <c r="A4" s="30" t="inlineStr">
        <is>
          <t>base_link 余量</t>
        </is>
      </c>
      <c r="B4" s="31" t="inlineStr">
        <is>
          <t>g</t>
        </is>
      </c>
      <c r="C4" s="31" t="n">
        <v>620</v>
      </c>
      <c r="D4" s="31" t="n">
        <v>135</v>
      </c>
      <c r="E4" s="32">
        <f>D4/C4</f>
        <v/>
      </c>
      <c r="F4" s="31" t="inlineStr">
        <is>
          <t>翼面 54 g 保留绝对值</t>
        </is>
      </c>
    </row>
    <row r="5">
      <c r="A5" s="33" t="inlineStr">
        <is>
          <t>活动翼面占比</t>
        </is>
      </c>
      <c r="B5" s="34" t="inlineStr">
        <is>
          <t>% MTOW</t>
        </is>
      </c>
      <c r="C5" s="34" t="n">
        <v>7.7</v>
      </c>
      <c r="D5" s="34" t="n">
        <v>25.1</v>
      </c>
      <c r="E5" s="35">
        <f>D5/C5</f>
        <v/>
      </c>
      <c r="F5" s="34" t="inlineStr">
        <is>
          <t>⚠ 待表一复核（缺口挂账）</t>
        </is>
      </c>
    </row>
    <row r="6">
      <c r="A6" s="30" t="inlineStr">
        <is>
          <t>试验架惯量</t>
        </is>
      </c>
      <c r="B6" s="31" t="inlineStr">
        <is>
          <t>e-3 kg·m²</t>
        </is>
      </c>
      <c r="C6" s="31" t="n">
        <v>24</v>
      </c>
      <c r="D6" s="31" t="n">
        <v>7.37</v>
      </c>
      <c r="E6" s="32">
        <f>D6/C6</f>
        <v/>
      </c>
      <c r="F6" s="31" t="inlineStr">
        <is>
          <t>质量比 0.3071 缩放</t>
        </is>
      </c>
    </row>
    <row r="7">
      <c r="A7" s="33" t="inlineStr">
        <is>
          <t>巡航配平速度</t>
        </is>
      </c>
      <c r="B7" s="34" t="inlineStr">
        <is>
          <t>m/s</t>
        </is>
      </c>
      <c r="C7" s="34" t="n">
        <v>8</v>
      </c>
      <c r="D7" s="34" t="n">
        <v>5</v>
      </c>
      <c r="E7" s="35">
        <f>D7/C7</f>
        <v/>
      </c>
      <c r="F7" s="34" t="inlineStr">
        <is>
          <t>离线扫描真值</t>
        </is>
      </c>
    </row>
    <row r="8">
      <c r="A8" s="30" t="inlineStr">
        <is>
          <t>巡航配平拍频</t>
        </is>
      </c>
      <c r="B8" s="31" t="inlineStr">
        <is>
          <t>Hz</t>
        </is>
      </c>
      <c r="C8" s="31" t="n">
        <v>3.3</v>
      </c>
      <c r="D8" s="31" t="n">
        <v>2.25</v>
      </c>
      <c r="E8" s="32">
        <f>D8/C8</f>
        <v/>
      </c>
      <c r="F8" s="31" t="inlineStr">
        <is>
          <t>2.0~2.5 区间</t>
        </is>
      </c>
    </row>
    <row r="9">
      <c r="A9" s="33" t="inlineStr">
        <is>
          <t>悬停拍频</t>
        </is>
      </c>
      <c r="B9" s="34" t="inlineStr">
        <is>
          <t>Hz</t>
        </is>
      </c>
      <c r="C9" s="34" t="n">
        <v>1.9</v>
      </c>
      <c r="D9" s="34" t="n">
        <v>6</v>
      </c>
      <c r="E9" s="35">
        <f>D9/C9</f>
        <v/>
      </c>
      <c r="F9" s="34" t="inlineStr">
        <is>
          <t>重新可达（约）</t>
        </is>
      </c>
    </row>
    <row r="11">
      <c r="A11" s="36" t="inlineStr">
        <is>
          <t>切换收尾待办</t>
        </is>
      </c>
    </row>
    <row r="12">
      <c r="A12" s="5" t="inlineStr">
        <is>
          <t>① 五组拍频量程改写（悬停 / 巡航上限 / 保护下限 / 手动 / 双拍）</t>
        </is>
      </c>
    </row>
    <row r="13">
      <c r="A13" s="5" t="inlineStr">
        <is>
          <t>② 215 g 离线配平扫描 + 波形四参数推力搜索重跑（ALPHA_SET / SPLIT / LAG / MEAN）</t>
        </is>
      </c>
    </row>
    <row r="14">
      <c r="A14" s="5" t="inlineStr">
        <is>
          <t>③ 发射参数重推导（LAUNCH_VX / LAUNCH_PITCH）+ 气球工况能量量级记录</t>
        </is>
      </c>
    </row>
    <row r="15">
      <c r="A15" s="5" t="inlineStr">
        <is>
          <t>④ 切换后第二次 PhysX 惯量直读复跑 → 风险账本第一条 215 g 口径销项</t>
        </is>
      </c>
    </row>
  </sheetData>
  <mergeCells count="5">
    <mergeCell ref="A11:F11"/>
    <mergeCell ref="A13:F13"/>
    <mergeCell ref="A14:F14"/>
    <mergeCell ref="A12:F1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  <col width="40" customWidth="1" min="3" max="3"/>
  </cols>
  <sheetData>
    <row r="1">
      <c r="A1" s="11" t="inlineStr">
        <is>
          <t>文件</t>
        </is>
      </c>
      <c r="B1" s="11" t="inlineStr">
        <is>
          <t>角色</t>
        </is>
      </c>
      <c r="C1" s="11" t="inlineStr">
        <is>
          <t>关键区段</t>
        </is>
      </c>
    </row>
    <row r="2">
      <c r="A2" s="37" t="inlineStr">
        <is>
          <t>G:\Playground\isaac_flapper_sim\config\sim_config.py</t>
        </is>
      </c>
      <c r="B2" s="37" t="inlineStr">
        <is>
          <t>全部参数与出处注释的主配置</t>
        </is>
      </c>
      <c r="C2" s="38" t="inlineStr">
        <is>
          <t>质量 127-130；驱动 34-35；气动 248-268；滑流尾翼 350-376；控制器 518-641</t>
        </is>
      </c>
    </row>
    <row r="3">
      <c r="A3" s="39" t="inlineStr">
        <is>
          <t>G:\Playground\isaac_flapper_sim\modules\aero_solver.py</t>
        </is>
      </c>
      <c r="B3" s="39" t="inlineStr">
        <is>
          <t>力律本体公式精确形式</t>
        </is>
      </c>
      <c r="C3" s="40" t="inlineStr">
        <is>
          <t>296-393 叶素积分；426-429 爬升守卫；779 滑流</t>
        </is>
      </c>
    </row>
    <row r="4">
      <c r="A4" s="37" t="inlineStr">
        <is>
          <t>G:\Playground\isaac_flapper_sim\modules\flight_controller.py</t>
        </is>
      </c>
      <c r="B4" s="37" t="inlineStr">
        <is>
          <t>运行控制链分段</t>
        </is>
      </c>
      <c r="C4" s="38" t="inlineStr">
        <is>
          <t>78-290 空速合成→TECS→姿态→内环分配</t>
        </is>
      </c>
    </row>
    <row r="5">
      <c r="A5" s="39" t="inlineStr">
        <is>
          <t>G:\Playground\isaac_flapper_sim\tools\test_flight_controller.py</t>
        </is>
      </c>
      <c r="B5" s="39" t="inlineStr">
        <is>
          <t>试验架惯量</t>
        </is>
      </c>
      <c r="C5" s="40" t="inlineStr">
        <is>
          <t>36-42 0.024 → 7.4e-3 缩放</t>
        </is>
      </c>
    </row>
    <row r="6">
      <c r="A6" s="37" t="inlineStr">
        <is>
          <t>G:\Playground\isaac_flapper_sim\fwav_15dof_2.urdf</t>
        </is>
      </c>
      <c r="B6" s="37" t="inlineStr">
        <is>
          <t>关节机械限位</t>
        </is>
      </c>
      <c r="C6" s="38" t="inlineStr">
        <is>
          <t>51,65 ±1.4 rad</t>
        </is>
      </c>
    </row>
    <row r="7">
      <c r="A7" s="39" t="inlineStr">
        <is>
          <t>G:\Playground\isaac_flapper_sim\docs\INERTIA_TABLE_700g.md</t>
        </is>
      </c>
      <c r="B7" s="39" t="inlineStr">
        <is>
          <t>PhysX 惯量直读三列对照</t>
        </is>
      </c>
      <c r="C7" s="40" t="inlineStr">
        <is>
          <t>700 g 口径销项证据</t>
        </is>
      </c>
    </row>
    <row r="8">
      <c r="A8" s="37" t="inlineStr">
        <is>
          <t>G:\Playground\isaac_flapper_sim\docs\IDENT_20260919.md</t>
        </is>
      </c>
      <c r="B8" s="37" t="inlineStr">
        <is>
          <t>辨识调度律拟合值与同源定论</t>
        </is>
      </c>
      <c r="C8" s="38" t="inlineStr">
        <is>
          <t>76 同源 ≤2%；114-142 配平</t>
        </is>
      </c>
    </row>
    <row r="9">
      <c r="A9" s="39" t="inlineStr">
        <is>
          <t>G:\Playground\isaac_flapper_sim\docs\FIXLOG_20260919_FREEFLIGHT.md</t>
        </is>
      </c>
      <c r="B9" s="39" t="inlineStr">
        <is>
          <t>风险账本与甲项实验记录</t>
        </is>
      </c>
      <c r="C9" s="40" t="inlineStr">
        <is>
          <t>第四节账本；第十三节甲项</t>
        </is>
      </c>
    </row>
    <row r="10">
      <c r="A10" s="37" t="inlineStr">
        <is>
          <t>G:\Playground\isaac_flapper_sim\rl\hover_env.py</t>
        </is>
      </c>
      <c r="B10" s="37" t="inlineStr">
        <is>
          <t>悬停升力代理常数</t>
        </is>
      </c>
      <c r="C10" s="38" t="inlineStr">
        <is>
          <t>21 k_f=1.95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2026-09-20T06:50:54Z</dcterms:created>
  <dcterms:modified xmlns:dcterms="http://purl.org/dc/terms/" xmlns:xsi="http://www.w3.org/2001/XMLSchema-instance" xsi:type="dcterms:W3CDTF">2026-09-20T06:50:54Z</dcterms:modified>
</cp:coreProperties>
</file>